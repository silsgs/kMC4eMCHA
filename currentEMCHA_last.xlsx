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cdud-my.sharepoint.com/personal/gimenezs_tcd_ie/Documents/Projects/eMCHA-STOSS/kMC4eMCHA/"/>
    </mc:Choice>
  </mc:AlternateContent>
  <xr:revisionPtr revIDLastSave="65" documentId="8_{5E65ED4A-7381-4778-9827-E29241BCD971}" xr6:coauthVersionLast="47" xr6:coauthVersionMax="47" xr10:uidLastSave="{6BCCE09A-F3E1-486E-91A6-8CB1B22A24DE}"/>
  <bookViews>
    <workbookView xWindow="390" yWindow="390" windowWidth="21600" windowHeight="12645" xr2:uid="{837A7F63-7E9C-44D6-B236-481921DD8ADC}"/>
    <workbookView xWindow="1980" yWindow="-15375" windowWidth="24405" windowHeight="13425" xr2:uid="{C5DCD740-E4AD-43D4-B043-660A1F5AE3A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7" i="1" l="1"/>
  <c r="E63" i="1"/>
  <c r="E64" i="1" s="1"/>
  <c r="E65" i="1" s="1"/>
  <c r="E66" i="1" s="1"/>
  <c r="E67" i="1" s="1"/>
  <c r="E68" i="1" s="1"/>
  <c r="E69" i="1" s="1"/>
  <c r="E70" i="1" s="1"/>
  <c r="E71" i="1" s="1"/>
  <c r="E72" i="1" s="1"/>
  <c r="D63" i="1"/>
  <c r="D64" i="1" s="1"/>
  <c r="D65" i="1" s="1"/>
  <c r="D66" i="1" s="1"/>
  <c r="D67" i="1" s="1"/>
  <c r="D68" i="1" s="1"/>
  <c r="D69" i="1" s="1"/>
  <c r="D70" i="1" s="1"/>
  <c r="D71" i="1" s="1"/>
  <c r="D72" i="1" s="1"/>
  <c r="A19" i="1"/>
  <c r="A32" i="1" s="1"/>
  <c r="B6" i="1"/>
  <c r="B7" i="1" s="1"/>
  <c r="B8" i="1" l="1"/>
  <c r="A21" i="1"/>
  <c r="A34" i="1" s="1"/>
  <c r="B46" i="1"/>
  <c r="C46" i="1"/>
  <c r="A20" i="1"/>
  <c r="A33" i="1" s="1"/>
  <c r="C47" i="1" l="1"/>
  <c r="B47" i="1"/>
  <c r="C48" i="1"/>
  <c r="B48" i="1"/>
  <c r="B9" i="1"/>
  <c r="A22" i="1"/>
  <c r="A35" i="1" s="1"/>
  <c r="B77" i="1"/>
  <c r="B62" i="1"/>
  <c r="B110" i="1"/>
  <c r="B95" i="1"/>
  <c r="C95" i="1" l="1"/>
  <c r="F95" i="1" s="1"/>
  <c r="G95" i="1" s="1"/>
  <c r="C110" i="1"/>
  <c r="F110" i="1" s="1"/>
  <c r="G110" i="1" s="1"/>
  <c r="C62" i="1"/>
  <c r="F62" i="1" s="1"/>
  <c r="G62" i="1" s="1"/>
  <c r="C77" i="1"/>
  <c r="F77" i="1" s="1"/>
  <c r="G77" i="1" s="1"/>
  <c r="C49" i="1"/>
  <c r="B49" i="1"/>
  <c r="B10" i="1"/>
  <c r="A23" i="1"/>
  <c r="A36" i="1" s="1"/>
  <c r="B97" i="1"/>
  <c r="B112" i="1"/>
  <c r="B79" i="1"/>
  <c r="B64" i="1"/>
  <c r="B111" i="1"/>
  <c r="B78" i="1"/>
  <c r="B63" i="1"/>
  <c r="B96" i="1"/>
  <c r="I107" i="1" l="1"/>
  <c r="J107" i="1" s="1"/>
  <c r="K107" i="1" s="1"/>
  <c r="L107" i="1" s="1"/>
  <c r="I73" i="1"/>
  <c r="C96" i="1"/>
  <c r="F96" i="1" s="1"/>
  <c r="G96" i="1" s="1"/>
  <c r="C63" i="1"/>
  <c r="F63" i="1" s="1"/>
  <c r="G63" i="1" s="1"/>
  <c r="C78" i="1"/>
  <c r="F78" i="1" s="1"/>
  <c r="G78" i="1" s="1"/>
  <c r="C111" i="1"/>
  <c r="F111" i="1" s="1"/>
  <c r="G111" i="1" s="1"/>
  <c r="C64" i="1"/>
  <c r="F64" i="1" s="1"/>
  <c r="G64" i="1" s="1"/>
  <c r="C79" i="1"/>
  <c r="F79" i="1" s="1"/>
  <c r="G79" i="1" s="1"/>
  <c r="C112" i="1"/>
  <c r="F112" i="1" s="1"/>
  <c r="G112" i="1" s="1"/>
  <c r="C97" i="1"/>
  <c r="F97" i="1" s="1"/>
  <c r="G97" i="1" s="1"/>
  <c r="C50" i="1"/>
  <c r="B50" i="1"/>
  <c r="B11" i="1"/>
  <c r="A24" i="1"/>
  <c r="A37" i="1" s="1"/>
  <c r="B80" i="1"/>
  <c r="B65" i="1"/>
  <c r="B113" i="1"/>
  <c r="B98" i="1"/>
  <c r="I74" i="1" l="1"/>
  <c r="I109" i="1"/>
  <c r="J109" i="1" s="1"/>
  <c r="K109" i="1" s="1"/>
  <c r="L109" i="1" s="1"/>
  <c r="C80" i="1"/>
  <c r="F80" i="1" s="1"/>
  <c r="G80" i="1" s="1"/>
  <c r="C51" i="1"/>
  <c r="B51" i="1"/>
  <c r="B12" i="1"/>
  <c r="A25" i="1"/>
  <c r="A38" i="1" s="1"/>
  <c r="B81" i="1"/>
  <c r="B66" i="1"/>
  <c r="B114" i="1"/>
  <c r="B99" i="1"/>
  <c r="I75" i="1"/>
  <c r="C98" i="1"/>
  <c r="F98" i="1" s="1"/>
  <c r="G98" i="1" s="1"/>
  <c r="I108" i="1"/>
  <c r="J108" i="1" s="1"/>
  <c r="K108" i="1" s="1"/>
  <c r="L108" i="1" s="1"/>
  <c r="C113" i="1"/>
  <c r="F113" i="1" s="1"/>
  <c r="G113" i="1" s="1"/>
  <c r="C65" i="1"/>
  <c r="F65" i="1" s="1"/>
  <c r="G65" i="1" s="1"/>
  <c r="I76" i="1" l="1"/>
  <c r="I110" i="1"/>
  <c r="J110" i="1" s="1"/>
  <c r="K110" i="1" s="1"/>
  <c r="L110" i="1" s="1"/>
  <c r="C99" i="1"/>
  <c r="F99" i="1" s="1"/>
  <c r="G99" i="1" s="1"/>
  <c r="C114" i="1"/>
  <c r="F114" i="1" s="1"/>
  <c r="G114" i="1" s="1"/>
  <c r="C66" i="1"/>
  <c r="F66" i="1" s="1"/>
  <c r="G66" i="1" s="1"/>
  <c r="C81" i="1"/>
  <c r="F81" i="1" s="1"/>
  <c r="G81" i="1" s="1"/>
  <c r="C52" i="1"/>
  <c r="B52" i="1"/>
  <c r="B13" i="1"/>
  <c r="A26" i="1"/>
  <c r="A39" i="1" s="1"/>
  <c r="B100" i="1"/>
  <c r="B67" i="1"/>
  <c r="B115" i="1"/>
  <c r="B82" i="1"/>
  <c r="I77" i="1" l="1"/>
  <c r="C115" i="1"/>
  <c r="F115" i="1" s="1"/>
  <c r="G115" i="1" s="1"/>
  <c r="C100" i="1"/>
  <c r="F100" i="1" s="1"/>
  <c r="G100" i="1" s="1"/>
  <c r="C82" i="1"/>
  <c r="F82" i="1" s="1"/>
  <c r="G82" i="1" s="1"/>
  <c r="C67" i="1"/>
  <c r="F67" i="1" s="1"/>
  <c r="G67" i="1" s="1"/>
  <c r="B53" i="1"/>
  <c r="C53" i="1"/>
  <c r="B14" i="1"/>
  <c r="A27" i="1"/>
  <c r="A40" i="1" s="1"/>
  <c r="B116" i="1"/>
  <c r="B68" i="1"/>
  <c r="B101" i="1"/>
  <c r="B83" i="1"/>
  <c r="I111" i="1"/>
  <c r="J111" i="1" s="1"/>
  <c r="K111" i="1" s="1"/>
  <c r="L111" i="1" s="1"/>
  <c r="C83" i="1" l="1"/>
  <c r="F83" i="1" s="1"/>
  <c r="G83" i="1" s="1"/>
  <c r="C101" i="1"/>
  <c r="F101" i="1" s="1"/>
  <c r="G101" i="1" s="1"/>
  <c r="C68" i="1"/>
  <c r="F68" i="1" s="1"/>
  <c r="G68" i="1" s="1"/>
  <c r="C116" i="1"/>
  <c r="F116" i="1" s="1"/>
  <c r="G116" i="1" s="1"/>
  <c r="C54" i="1"/>
  <c r="B54" i="1"/>
  <c r="A29" i="1"/>
  <c r="A42" i="1" s="1"/>
  <c r="A28" i="1"/>
  <c r="A41" i="1" s="1"/>
  <c r="B69" i="1"/>
  <c r="B102" i="1"/>
  <c r="B84" i="1"/>
  <c r="B117" i="1"/>
  <c r="I78" i="1"/>
  <c r="I112" i="1"/>
  <c r="J112" i="1" s="1"/>
  <c r="K112" i="1" s="1"/>
  <c r="L112" i="1" s="1"/>
  <c r="I79" i="1" l="1"/>
  <c r="I113" i="1"/>
  <c r="J113" i="1" s="1"/>
  <c r="K113" i="1" s="1"/>
  <c r="L113" i="1" s="1"/>
  <c r="C117" i="1"/>
  <c r="F117" i="1" s="1"/>
  <c r="G117" i="1" s="1"/>
  <c r="C84" i="1"/>
  <c r="F84" i="1" s="1"/>
  <c r="G84" i="1" s="1"/>
  <c r="C102" i="1"/>
  <c r="F102" i="1" s="1"/>
  <c r="G102" i="1" s="1"/>
  <c r="C69" i="1"/>
  <c r="F69" i="1" s="1"/>
  <c r="G69" i="1" s="1"/>
  <c r="C55" i="1"/>
  <c r="B55" i="1"/>
  <c r="B56" i="1"/>
  <c r="C56" i="1"/>
  <c r="B103" i="1"/>
  <c r="B85" i="1"/>
  <c r="B118" i="1"/>
  <c r="B70" i="1"/>
  <c r="I80" i="1" l="1"/>
  <c r="I114" i="1"/>
  <c r="J114" i="1" s="1"/>
  <c r="K114" i="1" s="1"/>
  <c r="L114" i="1" s="1"/>
  <c r="C70" i="1"/>
  <c r="F70" i="1" s="1"/>
  <c r="G70" i="1" s="1"/>
  <c r="C118" i="1"/>
  <c r="F118" i="1" s="1"/>
  <c r="G118" i="1" s="1"/>
  <c r="C85" i="1"/>
  <c r="F85" i="1" s="1"/>
  <c r="G85" i="1" s="1"/>
  <c r="C103" i="1"/>
  <c r="F103" i="1" s="1"/>
  <c r="G103" i="1" s="1"/>
  <c r="B120" i="1"/>
  <c r="B105" i="1"/>
  <c r="B87" i="1"/>
  <c r="B72" i="1"/>
  <c r="B71" i="1"/>
  <c r="B119" i="1"/>
  <c r="B104" i="1"/>
  <c r="B86" i="1"/>
  <c r="I81" i="1" l="1"/>
  <c r="C86" i="1"/>
  <c r="F86" i="1" s="1"/>
  <c r="G86" i="1" s="1"/>
  <c r="C104" i="1"/>
  <c r="F104" i="1" s="1"/>
  <c r="G104" i="1" s="1"/>
  <c r="C119" i="1"/>
  <c r="F119" i="1" s="1"/>
  <c r="G119" i="1" s="1"/>
  <c r="C71" i="1"/>
  <c r="F71" i="1" s="1"/>
  <c r="G71" i="1" s="1"/>
  <c r="C72" i="1"/>
  <c r="F72" i="1" s="1"/>
  <c r="G72" i="1" s="1"/>
  <c r="C87" i="1"/>
  <c r="F87" i="1" s="1"/>
  <c r="G87" i="1" s="1"/>
  <c r="C105" i="1"/>
  <c r="F105" i="1" s="1"/>
  <c r="G105" i="1" s="1"/>
  <c r="C120" i="1"/>
  <c r="F120" i="1" s="1"/>
  <c r="G120" i="1" s="1"/>
  <c r="I115" i="1"/>
  <c r="J115" i="1" s="1"/>
  <c r="K115" i="1" s="1"/>
  <c r="L115" i="1" s="1"/>
  <c r="I82" i="1" l="1"/>
  <c r="I117" i="1"/>
  <c r="J117" i="1" s="1"/>
  <c r="K117" i="1" s="1"/>
  <c r="I83" i="1"/>
  <c r="I116" i="1"/>
  <c r="J116" i="1" s="1"/>
  <c r="K116" i="1" s="1"/>
  <c r="L116" i="1" s="1"/>
</calcChain>
</file>

<file path=xl/sharedStrings.xml><?xml version="1.0" encoding="utf-8"?>
<sst xmlns="http://schemas.openxmlformats.org/spreadsheetml/2006/main" count="48" uniqueCount="26">
  <si>
    <t>bohr magneton/boltzmann’s konstant: mu_B/k_B (K/T)</t>
  </si>
  <si>
    <t>Temperature (K)</t>
  </si>
  <si>
    <t>mag field (T)</t>
  </si>
  <si>
    <t>spin</t>
  </si>
  <si>
    <t>g (Lande)</t>
  </si>
  <si>
    <t>Voltaje y otras cosas</t>
  </si>
  <si>
    <t>Lo q sea</t>
  </si>
  <si>
    <t>Zeeman E [K]= g*(mu_B/k_T)*field*spin</t>
  </si>
  <si>
    <t>Delta Zeeman E [K]= g*(mu_B/k_T)*field*spin*2</t>
  </si>
  <si>
    <t>ground pop</t>
  </si>
  <si>
    <t>exc pop</t>
  </si>
  <si>
    <t>V=0.15</t>
  </si>
  <si>
    <t>GS(alpha=0 or beta=1)</t>
  </si>
  <si>
    <t>alpha pop</t>
  </si>
  <si>
    <t>beta pop</t>
  </si>
  <si>
    <t>alpha current</t>
  </si>
  <si>
    <t>beta current</t>
  </si>
  <si>
    <t>total current</t>
  </si>
  <si>
    <t>R</t>
  </si>
  <si>
    <t>deltaR</t>
  </si>
  <si>
    <t>V=-0.15</t>
  </si>
  <si>
    <t>deltaR'</t>
  </si>
  <si>
    <t>deltaR/R</t>
  </si>
  <si>
    <t>gamma</t>
  </si>
  <si>
    <t>V=0.0755</t>
  </si>
  <si>
    <t>V=-0.0755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</si>
</sst>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"/>
  </numFmts>
  <fonts count="17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Aptos Narrow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sz val="10"/>
      <color rgb="FFC9211E"/>
      <name val="Liberation Sans"/>
    </font>
    <font>
      <b/>
      <sz val="10"/>
      <color rgb="FF000000"/>
      <name val="Liberation Serif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9">
    <xf numFmtId="0" fontId="0" fillId="0" borderId="0" xfId="0"/>
    <xf numFmtId="0" fontId="1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6" fillId="9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/>
  </cellXfs>
  <cellStyles count="20">
    <cellStyle name="Accent" xfId="7" xr:uid="{508D4FE1-82BB-4402-8CA1-EFE49CBCDB86}"/>
    <cellStyle name="Accent 1" xfId="8" xr:uid="{D25451ED-A25A-4A2B-B14C-F1C43FF440D8}"/>
    <cellStyle name="Accent 2" xfId="9" xr:uid="{18AF4437-8098-4888-9043-636BB603771F}"/>
    <cellStyle name="Accent 3" xfId="10" xr:uid="{92817FEB-9B9E-40A1-BD74-6B8AE73CC526}"/>
    <cellStyle name="Bad" xfId="4" builtinId="27" customBuiltin="1"/>
    <cellStyle name="Default" xfId="11" xr:uid="{4D15B0B9-C2CC-4B8E-A4F1-42235137A935}"/>
    <cellStyle name="Error" xfId="12" xr:uid="{BF57EEBB-75B7-4B7B-97B0-468568FEED46}"/>
    <cellStyle name="Footnote" xfId="13" xr:uid="{C3A7AF88-6E40-4141-ACCA-3ED70F1EE6D9}"/>
    <cellStyle name="Good" xfId="3" builtinId="26" customBuiltin="1"/>
    <cellStyle name="Heading" xfId="14" xr:uid="{E5C4C8E1-BB80-4201-81DC-EFA3E6D52934}"/>
    <cellStyle name="Heading 1" xfId="1" builtinId="16" customBuiltin="1"/>
    <cellStyle name="Heading 2" xfId="2" builtinId="17" customBuiltin="1"/>
    <cellStyle name="Hyperlink" xfId="15" xr:uid="{1D798DC8-37C4-487C-9B5D-233E89B62B4E}"/>
    <cellStyle name="Neutral" xfId="5" builtinId="28" customBuiltin="1"/>
    <cellStyle name="Normal" xfId="0" builtinId="0" customBuiltin="1"/>
    <cellStyle name="Note" xfId="6" builtinId="10" customBuiltin="1"/>
    <cellStyle name="Result" xfId="16" xr:uid="{359FD544-C7A4-40B6-80B1-E588F35C14B4}"/>
    <cellStyle name="Status" xfId="17" xr:uid="{E07F177E-BC1E-4663-A898-35FE680B14C4}"/>
    <cellStyle name="Text" xfId="18" xr:uid="{22E50B2E-7C20-4EE3-8A7E-8D3D5D9FCC72}"/>
    <cellStyle name="Warning" xfId="19" xr:uid="{D88CEEA2-8B2A-4D1C-87BA-13E050004F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9F0D-6A0B-40A3-A4D5-4C27C594BF80}">
  <dimension ref="A1:L121"/>
  <sheetViews>
    <sheetView tabSelected="1" zoomScale="89" zoomScaleNormal="130" workbookViewId="0">
      <pane ySplit="3615" topLeftCell="A102" activePane="bottomLeft"/>
      <selection activeCell="A6" sqref="A6"/>
      <selection pane="bottomLeft" activeCell="L117" sqref="L117"/>
    </sheetView>
    <sheetView tabSelected="1" topLeftCell="A105" workbookViewId="1">
      <selection activeCell="L124" sqref="L124"/>
    </sheetView>
  </sheetViews>
  <sheetFormatPr defaultRowHeight="12.75"/>
  <cols>
    <col min="1" max="1" width="10.140625" style="2" customWidth="1"/>
    <col min="2" max="2" width="13.140625" style="2" customWidth="1"/>
    <col min="3" max="3" width="13.5703125" style="2" customWidth="1"/>
    <col min="4" max="4" width="15" style="2" customWidth="1"/>
    <col min="5" max="5" width="12.140625" style="2" customWidth="1"/>
    <col min="6" max="6" width="18.42578125" style="2" customWidth="1"/>
    <col min="7" max="7" width="10.140625" bestFit="1" customWidth="1"/>
    <col min="8" max="8" width="9.140625" customWidth="1"/>
    <col min="9" max="9" width="13.7109375" bestFit="1" customWidth="1"/>
    <col min="10" max="10" width="9.140625" customWidth="1"/>
  </cols>
  <sheetData>
    <row r="1" spans="1:5">
      <c r="A1" s="1" t="s">
        <v>0</v>
      </c>
      <c r="E1"/>
    </row>
    <row r="2" spans="1:5" customFormat="1">
      <c r="A2" s="3">
        <v>0.67171387999999999</v>
      </c>
    </row>
    <row r="3" spans="1:5" customFormat="1"/>
    <row r="4" spans="1:5">
      <c r="A4" s="2" t="s">
        <v>1</v>
      </c>
      <c r="B4" s="2" t="s">
        <v>2</v>
      </c>
      <c r="C4" s="2" t="s">
        <v>3</v>
      </c>
      <c r="D4" t="s">
        <v>4</v>
      </c>
      <c r="E4" s="4" t="s">
        <v>5</v>
      </c>
    </row>
    <row r="5" spans="1:5">
      <c r="A5" s="2">
        <v>2</v>
      </c>
      <c r="B5" s="2">
        <v>0</v>
      </c>
      <c r="C5" s="2">
        <v>0.5</v>
      </c>
      <c r="D5" s="2">
        <v>2.0023200000000001</v>
      </c>
      <c r="E5" s="2" t="s">
        <v>6</v>
      </c>
    </row>
    <row r="6" spans="1:5">
      <c r="B6" s="2">
        <f t="shared" ref="B6:B15" si="0">B5+0.1</f>
        <v>0.1</v>
      </c>
      <c r="D6"/>
    </row>
    <row r="7" spans="1:5" customFormat="1">
      <c r="B7" s="2">
        <f t="shared" si="0"/>
        <v>0.2</v>
      </c>
    </row>
    <row r="8" spans="1:5" customFormat="1">
      <c r="B8" s="2">
        <f t="shared" si="0"/>
        <v>0.30000000000000004</v>
      </c>
    </row>
    <row r="9" spans="1:5" customFormat="1">
      <c r="B9" s="2">
        <f t="shared" si="0"/>
        <v>0.4</v>
      </c>
    </row>
    <row r="10" spans="1:5" customFormat="1">
      <c r="B10" s="2">
        <f t="shared" si="0"/>
        <v>0.5</v>
      </c>
    </row>
    <row r="11" spans="1:5" customFormat="1">
      <c r="B11" s="2">
        <f t="shared" si="0"/>
        <v>0.6</v>
      </c>
    </row>
    <row r="12" spans="1:5" customFormat="1">
      <c r="B12" s="2">
        <f t="shared" si="0"/>
        <v>0.7</v>
      </c>
    </row>
    <row r="13" spans="1:5" customFormat="1">
      <c r="B13" s="2">
        <f t="shared" si="0"/>
        <v>0.79999999999999993</v>
      </c>
    </row>
    <row r="14" spans="1:5" customFormat="1">
      <c r="B14" s="2">
        <f t="shared" si="0"/>
        <v>0.89999999999999991</v>
      </c>
    </row>
    <row r="15" spans="1:5" customFormat="1">
      <c r="B15" s="2">
        <v>50</v>
      </c>
    </row>
    <row r="16" spans="1:5" customFormat="1"/>
    <row r="18" spans="1:4" customFormat="1">
      <c r="A18" s="4" t="s">
        <v>7</v>
      </c>
    </row>
    <row r="19" spans="1:4" customFormat="1">
      <c r="A19">
        <f t="shared" ref="A19:A29" si="1">D$5*A$2*B5*C$5</f>
        <v>0</v>
      </c>
    </row>
    <row r="20" spans="1:4">
      <c r="A20">
        <f t="shared" si="1"/>
        <v>6.7249306810079998E-2</v>
      </c>
      <c r="B20"/>
      <c r="C20"/>
      <c r="D20"/>
    </row>
    <row r="21" spans="1:4">
      <c r="A21">
        <f t="shared" si="1"/>
        <v>0.13449861362016</v>
      </c>
      <c r="B21"/>
      <c r="C21"/>
    </row>
    <row r="22" spans="1:4">
      <c r="A22">
        <f t="shared" si="1"/>
        <v>0.20174792043024004</v>
      </c>
    </row>
    <row r="23" spans="1:4" customFormat="1">
      <c r="A23">
        <f t="shared" si="1"/>
        <v>0.26899722724031999</v>
      </c>
    </row>
    <row r="24" spans="1:4" customFormat="1">
      <c r="A24">
        <f t="shared" si="1"/>
        <v>0.3362465340504</v>
      </c>
    </row>
    <row r="25" spans="1:4" customFormat="1">
      <c r="A25">
        <f t="shared" si="1"/>
        <v>0.40349584086048002</v>
      </c>
    </row>
    <row r="26" spans="1:4" customFormat="1">
      <c r="A26">
        <f t="shared" si="1"/>
        <v>0.47074514767055997</v>
      </c>
    </row>
    <row r="27" spans="1:4" customFormat="1">
      <c r="A27">
        <f t="shared" si="1"/>
        <v>0.53799445448063998</v>
      </c>
    </row>
    <row r="28" spans="1:4" customFormat="1">
      <c r="A28">
        <f t="shared" si="1"/>
        <v>0.60524376129071999</v>
      </c>
    </row>
    <row r="29" spans="1:4" customFormat="1">
      <c r="A29">
        <f t="shared" si="1"/>
        <v>33.62465340504</v>
      </c>
    </row>
    <row r="30" spans="1:4" customFormat="1"/>
    <row r="31" spans="1:4" customFormat="1">
      <c r="A31" s="4" t="s">
        <v>8</v>
      </c>
      <c r="B31" s="2"/>
      <c r="C31" s="2"/>
    </row>
    <row r="32" spans="1:4" customFormat="1">
      <c r="A32">
        <f t="shared" ref="A32:A42" si="2">A19*2</f>
        <v>0</v>
      </c>
      <c r="B32" s="2"/>
      <c r="C32" s="2"/>
    </row>
    <row r="33" spans="1:3" customFormat="1">
      <c r="A33">
        <f t="shared" si="2"/>
        <v>0.13449861362016</v>
      </c>
    </row>
    <row r="34" spans="1:3" customFormat="1">
      <c r="A34">
        <f t="shared" si="2"/>
        <v>0.26899722724031999</v>
      </c>
    </row>
    <row r="35" spans="1:3" customFormat="1">
      <c r="A35">
        <f t="shared" si="2"/>
        <v>0.40349584086048007</v>
      </c>
    </row>
    <row r="36" spans="1:3" customFormat="1">
      <c r="A36">
        <f t="shared" si="2"/>
        <v>0.53799445448063998</v>
      </c>
    </row>
    <row r="37" spans="1:3" customFormat="1">
      <c r="A37">
        <f t="shared" si="2"/>
        <v>0.67249306810080001</v>
      </c>
    </row>
    <row r="38" spans="1:3" customFormat="1">
      <c r="A38">
        <f t="shared" si="2"/>
        <v>0.80699168172096003</v>
      </c>
    </row>
    <row r="39" spans="1:3" customFormat="1">
      <c r="A39">
        <f t="shared" si="2"/>
        <v>0.94149029534111994</v>
      </c>
    </row>
    <row r="40" spans="1:3" customFormat="1">
      <c r="A40">
        <f t="shared" si="2"/>
        <v>1.07598890896128</v>
      </c>
    </row>
    <row r="41" spans="1:3" customFormat="1">
      <c r="A41">
        <f t="shared" si="2"/>
        <v>1.21048752258144</v>
      </c>
    </row>
    <row r="42" spans="1:3" customFormat="1">
      <c r="A42">
        <f t="shared" si="2"/>
        <v>67.24930681008</v>
      </c>
    </row>
    <row r="43" spans="1:3" customFormat="1"/>
    <row r="44" spans="1:3" customFormat="1"/>
    <row r="45" spans="1:3" customFormat="1">
      <c r="B45" t="s">
        <v>9</v>
      </c>
      <c r="C45" t="s">
        <v>10</v>
      </c>
    </row>
    <row r="46" spans="1:3" customFormat="1">
      <c r="B46">
        <f t="shared" ref="B46:B56" si="3">1/(1+EXP(-A32/A$5))</f>
        <v>0.5</v>
      </c>
      <c r="C46">
        <f t="shared" ref="C46:C56" si="4">((EXP(-A32/A$5)/(1+EXP(-A32/A$5))))</f>
        <v>0.5</v>
      </c>
    </row>
    <row r="47" spans="1:3" customFormat="1">
      <c r="A47" s="2"/>
      <c r="B47">
        <f t="shared" si="3"/>
        <v>0.5168059934641247</v>
      </c>
      <c r="C47">
        <f t="shared" si="4"/>
        <v>0.48319400653587524</v>
      </c>
    </row>
    <row r="48" spans="1:3" customFormat="1">
      <c r="B48">
        <f t="shared" si="3"/>
        <v>0.53357405611241004</v>
      </c>
      <c r="C48">
        <f t="shared" si="4"/>
        <v>0.46642594388759007</v>
      </c>
    </row>
    <row r="49" spans="1:7">
      <c r="A49"/>
      <c r="B49">
        <f t="shared" si="3"/>
        <v>0.5502665987944777</v>
      </c>
      <c r="C49">
        <f t="shared" si="4"/>
        <v>0.4497334012055223</v>
      </c>
      <c r="D49"/>
      <c r="E49"/>
      <c r="F49"/>
    </row>
    <row r="50" spans="1:7">
      <c r="A50"/>
      <c r="B50">
        <f t="shared" si="3"/>
        <v>0.56684670917173086</v>
      </c>
      <c r="C50">
        <f t="shared" si="4"/>
        <v>0.4331532908282692</v>
      </c>
      <c r="D50"/>
      <c r="E50"/>
      <c r="F50"/>
    </row>
    <row r="51" spans="1:7">
      <c r="A51"/>
      <c r="B51">
        <f t="shared" si="3"/>
        <v>0.58327847403800337</v>
      </c>
      <c r="C51">
        <f t="shared" si="4"/>
        <v>0.41672152596199674</v>
      </c>
      <c r="D51"/>
      <c r="E51"/>
      <c r="F51"/>
    </row>
    <row r="52" spans="1:7">
      <c r="A52"/>
      <c r="B52">
        <f t="shared" si="3"/>
        <v>0.59952728292269697</v>
      </c>
      <c r="C52">
        <f t="shared" si="4"/>
        <v>0.40047271707730309</v>
      </c>
      <c r="D52"/>
      <c r="E52"/>
      <c r="F52"/>
    </row>
    <row r="53" spans="1:7">
      <c r="A53"/>
      <c r="B53">
        <f t="shared" si="3"/>
        <v>0.61556010768097025</v>
      </c>
      <c r="C53">
        <f t="shared" si="4"/>
        <v>0.3844398923190297</v>
      </c>
      <c r="D53"/>
      <c r="E53"/>
      <c r="F53"/>
    </row>
    <row r="54" spans="1:7">
      <c r="A54"/>
      <c r="B54">
        <f t="shared" si="3"/>
        <v>0.63134575352492717</v>
      </c>
      <c r="C54">
        <f t="shared" si="4"/>
        <v>0.36865424647507272</v>
      </c>
      <c r="D54"/>
      <c r="E54"/>
      <c r="F54"/>
    </row>
    <row r="55" spans="1:7">
      <c r="A55"/>
      <c r="B55">
        <f t="shared" si="3"/>
        <v>0.64685507781690388</v>
      </c>
      <c r="C55">
        <f t="shared" si="4"/>
        <v>0.35314492218309612</v>
      </c>
      <c r="D55"/>
      <c r="E55"/>
      <c r="F55"/>
    </row>
    <row r="56" spans="1:7">
      <c r="A56"/>
      <c r="B56">
        <f t="shared" si="3"/>
        <v>0.99999999999999756</v>
      </c>
      <c r="C56">
        <f t="shared" si="4"/>
        <v>2.4945865146310072E-15</v>
      </c>
      <c r="D56"/>
      <c r="E56"/>
      <c r="F56"/>
    </row>
    <row r="57" spans="1:7">
      <c r="A57"/>
      <c r="B57"/>
      <c r="C57"/>
      <c r="D57"/>
      <c r="E57"/>
      <c r="F57"/>
    </row>
    <row r="58" spans="1:7">
      <c r="A58"/>
      <c r="B58"/>
      <c r="C58"/>
      <c r="D58"/>
      <c r="E58"/>
      <c r="F58"/>
    </row>
    <row r="59" spans="1:7">
      <c r="A59"/>
      <c r="B59"/>
      <c r="C59"/>
      <c r="D59"/>
      <c r="E59"/>
      <c r="F59"/>
    </row>
    <row r="60" spans="1:7">
      <c r="A60" t="s">
        <v>11</v>
      </c>
      <c r="B60"/>
      <c r="C60"/>
      <c r="D60"/>
      <c r="E60"/>
      <c r="F60"/>
    </row>
    <row r="61" spans="1:7">
      <c r="A61" s="2" t="s">
        <v>12</v>
      </c>
      <c r="B61" s="2" t="s">
        <v>13</v>
      </c>
      <c r="C61" s="2" t="s">
        <v>14</v>
      </c>
      <c r="D61" s="2" t="s">
        <v>15</v>
      </c>
      <c r="E61" s="2" t="s">
        <v>16</v>
      </c>
      <c r="F61" s="2" t="s">
        <v>17</v>
      </c>
      <c r="G61" s="2" t="s">
        <v>18</v>
      </c>
    </row>
    <row r="62" spans="1:7">
      <c r="A62" s="2">
        <v>0</v>
      </c>
      <c r="B62" s="5">
        <f t="shared" ref="B62:B72" si="5">IF(A$62=1,B46,C46)</f>
        <v>0.5</v>
      </c>
      <c r="C62" s="5">
        <f t="shared" ref="C62:C72" si="6">1-B62</f>
        <v>0.5</v>
      </c>
      <c r="D62" s="5">
        <v>0.26958989999999999</v>
      </c>
      <c r="E62" s="5">
        <v>0.41686430000000002</v>
      </c>
      <c r="F62" s="6">
        <f t="shared" ref="F62:F72" si="7">B62*D62+C62*E62</f>
        <v>0.34322710000000001</v>
      </c>
      <c r="G62">
        <f t="shared" ref="G62:G72" si="8">0.15/F62</f>
        <v>0.43702842811654441</v>
      </c>
    </row>
    <row r="63" spans="1:7">
      <c r="B63" s="5">
        <f t="shared" si="5"/>
        <v>0.48319400653587524</v>
      </c>
      <c r="C63" s="5">
        <f t="shared" si="6"/>
        <v>0.5168059934641247</v>
      </c>
      <c r="D63" s="5">
        <f t="shared" ref="D63:D72" si="9">D62</f>
        <v>0.26958989999999999</v>
      </c>
      <c r="E63" s="5">
        <f t="shared" ref="E63:E72" si="10">E62</f>
        <v>0.41686430000000002</v>
      </c>
      <c r="F63" s="6">
        <f t="shared" si="7"/>
        <v>0.34570219260383284</v>
      </c>
      <c r="G63">
        <f t="shared" si="8"/>
        <v>0.433899475355358</v>
      </c>
    </row>
    <row r="64" spans="1:7">
      <c r="B64" s="5">
        <f t="shared" si="5"/>
        <v>0.46642594388759007</v>
      </c>
      <c r="C64" s="5">
        <f t="shared" si="6"/>
        <v>0.53357405611240993</v>
      </c>
      <c r="D64" s="5">
        <f t="shared" si="9"/>
        <v>0.26958989999999999</v>
      </c>
      <c r="E64" s="5">
        <f t="shared" si="10"/>
        <v>0.41686430000000002</v>
      </c>
      <c r="F64" s="6">
        <f t="shared" si="7"/>
        <v>0.34817169896952149</v>
      </c>
      <c r="G64">
        <f t="shared" si="8"/>
        <v>0.43082192046037265</v>
      </c>
    </row>
    <row r="65" spans="1:9">
      <c r="B65" s="5">
        <f t="shared" si="5"/>
        <v>0.4497334012055223</v>
      </c>
      <c r="C65" s="5">
        <f t="shared" si="6"/>
        <v>0.5502665987944777</v>
      </c>
      <c r="D65" s="5">
        <f t="shared" si="9"/>
        <v>0.26958989999999999</v>
      </c>
      <c r="E65" s="5">
        <f t="shared" si="10"/>
        <v>0.41686430000000002</v>
      </c>
      <c r="F65" s="6">
        <f t="shared" si="7"/>
        <v>0.35063008317749744</v>
      </c>
      <c r="G65">
        <f t="shared" si="8"/>
        <v>0.42780128459219047</v>
      </c>
    </row>
    <row r="66" spans="1:9">
      <c r="B66" s="5">
        <f t="shared" si="5"/>
        <v>0.4331532908282692</v>
      </c>
      <c r="C66" s="5">
        <f t="shared" si="6"/>
        <v>0.56684670917173086</v>
      </c>
      <c r="D66" s="5">
        <f t="shared" si="9"/>
        <v>0.26958989999999999</v>
      </c>
      <c r="E66" s="5">
        <f t="shared" si="10"/>
        <v>0.41686430000000002</v>
      </c>
      <c r="F66" s="6">
        <f t="shared" si="7"/>
        <v>0.35307190898524121</v>
      </c>
      <c r="G66">
        <f t="shared" si="8"/>
        <v>0.42484263455315036</v>
      </c>
    </row>
    <row r="67" spans="1:9">
      <c r="B67" s="5">
        <f t="shared" si="5"/>
        <v>0.41672152596199674</v>
      </c>
      <c r="C67" s="5">
        <f t="shared" si="6"/>
        <v>0.58327847403800326</v>
      </c>
      <c r="D67" s="5">
        <f t="shared" si="9"/>
        <v>0.26958989999999999</v>
      </c>
      <c r="E67" s="5">
        <f t="shared" si="10"/>
        <v>0.41686430000000002</v>
      </c>
      <c r="F67" s="6">
        <f t="shared" si="7"/>
        <v>0.35549188729686254</v>
      </c>
      <c r="G67">
        <f t="shared" si="8"/>
        <v>0.42195055741100129</v>
      </c>
    </row>
    <row r="68" spans="1:9">
      <c r="B68" s="5">
        <f t="shared" si="5"/>
        <v>0.40047271707730309</v>
      </c>
      <c r="C68" s="5">
        <f t="shared" si="6"/>
        <v>0.59952728292269697</v>
      </c>
      <c r="D68" s="5">
        <f t="shared" si="9"/>
        <v>0.26958989999999999</v>
      </c>
      <c r="E68" s="5">
        <f t="shared" si="10"/>
        <v>0.41686430000000002</v>
      </c>
      <c r="F68" s="6">
        <f t="shared" si="7"/>
        <v>0.35788492087607049</v>
      </c>
      <c r="G68">
        <f t="shared" si="8"/>
        <v>0.41912914249869293</v>
      </c>
    </row>
    <row r="69" spans="1:9">
      <c r="B69" s="5">
        <f t="shared" si="5"/>
        <v>0.3844398923190297</v>
      </c>
      <c r="C69" s="5">
        <f t="shared" si="6"/>
        <v>0.61556010768097025</v>
      </c>
      <c r="D69" s="5">
        <f t="shared" si="9"/>
        <v>0.26958989999999999</v>
      </c>
      <c r="E69" s="5">
        <f t="shared" si="10"/>
        <v>0.41686430000000002</v>
      </c>
      <c r="F69" s="6">
        <f t="shared" si="7"/>
        <v>0.36024614552265033</v>
      </c>
      <c r="G69">
        <f t="shared" si="8"/>
        <v>0.41638197067279603</v>
      </c>
    </row>
    <row r="70" spans="1:9">
      <c r="B70" s="5">
        <f t="shared" si="5"/>
        <v>0.36865424647507272</v>
      </c>
      <c r="C70" s="5">
        <f t="shared" si="6"/>
        <v>0.63134575352492728</v>
      </c>
      <c r="D70" s="5">
        <f t="shared" si="9"/>
        <v>0.26958989999999999</v>
      </c>
      <c r="E70" s="5">
        <f t="shared" si="10"/>
        <v>0.41686430000000002</v>
      </c>
      <c r="F70" s="6">
        <f t="shared" si="7"/>
        <v>0.36257096704293157</v>
      </c>
      <c r="G70">
        <f t="shared" si="8"/>
        <v>0.41371211055141843</v>
      </c>
    </row>
    <row r="71" spans="1:9">
      <c r="B71" s="5">
        <f t="shared" si="5"/>
        <v>0.35314492218309612</v>
      </c>
      <c r="C71" s="5">
        <f t="shared" si="6"/>
        <v>0.64685507781690388</v>
      </c>
      <c r="D71" s="5">
        <f t="shared" si="9"/>
        <v>0.26958989999999999</v>
      </c>
      <c r="E71" s="5">
        <f t="shared" si="10"/>
        <v>0.41686430000000002</v>
      </c>
      <c r="F71" s="6">
        <f t="shared" si="7"/>
        <v>0.36485509347243783</v>
      </c>
      <c r="G71">
        <f t="shared" si="8"/>
        <v>0.411122121312338</v>
      </c>
    </row>
    <row r="72" spans="1:9">
      <c r="B72" s="5">
        <f t="shared" si="5"/>
        <v>2.4945865146310072E-15</v>
      </c>
      <c r="C72" s="5">
        <f t="shared" si="6"/>
        <v>0.99999999999999756</v>
      </c>
      <c r="D72" s="5">
        <f t="shared" si="9"/>
        <v>0.26958989999999999</v>
      </c>
      <c r="E72" s="5">
        <f t="shared" si="10"/>
        <v>0.41686430000000002</v>
      </c>
      <c r="F72" s="6">
        <f t="shared" si="7"/>
        <v>0.41686429999999969</v>
      </c>
      <c r="G72">
        <f t="shared" si="8"/>
        <v>0.35982932575420851</v>
      </c>
      <c r="I72" t="s">
        <v>19</v>
      </c>
    </row>
    <row r="73" spans="1:9">
      <c r="B73" s="5"/>
      <c r="C73" s="5"/>
      <c r="D73" s="5"/>
      <c r="E73" s="5"/>
      <c r="F73" s="5"/>
      <c r="I73">
        <f t="shared" ref="I73:I83" si="11">G62-G77</f>
        <v>-1.8859227569462123E-4</v>
      </c>
    </row>
    <row r="74" spans="1:9">
      <c r="B74" s="5"/>
      <c r="C74" s="5"/>
      <c r="D74" s="5"/>
      <c r="E74" s="5"/>
      <c r="F74" s="5"/>
      <c r="I74">
        <f t="shared" si="11"/>
        <v>-6.4928061065077092E-3</v>
      </c>
    </row>
    <row r="75" spans="1:9">
      <c r="A75" t="s">
        <v>20</v>
      </c>
      <c r="B75"/>
      <c r="C75"/>
      <c r="D75"/>
      <c r="E75"/>
      <c r="F75"/>
      <c r="I75">
        <f t="shared" si="11"/>
        <v>-1.2784755301320228E-2</v>
      </c>
    </row>
    <row r="76" spans="1:9">
      <c r="A76" s="2" t="s">
        <v>12</v>
      </c>
      <c r="B76" s="2" t="s">
        <v>13</v>
      </c>
      <c r="C76" s="2" t="s">
        <v>14</v>
      </c>
      <c r="D76" s="2" t="s">
        <v>15</v>
      </c>
      <c r="E76" s="2" t="s">
        <v>16</v>
      </c>
      <c r="F76" s="2" t="s">
        <v>17</v>
      </c>
      <c r="G76" s="2" t="s">
        <v>18</v>
      </c>
      <c r="I76">
        <f t="shared" si="11"/>
        <v>-1.9052256394710587E-2</v>
      </c>
    </row>
    <row r="77" spans="1:9">
      <c r="A77" s="2">
        <v>0</v>
      </c>
      <c r="B77" s="5">
        <f t="shared" ref="B77:B87" si="12">IF(A$77=1,B46,C46)</f>
        <v>0.5</v>
      </c>
      <c r="C77" s="5">
        <f t="shared" ref="C77:C87" si="13">1-B77</f>
        <v>0.5</v>
      </c>
      <c r="D77" s="5">
        <v>-0.4166726</v>
      </c>
      <c r="E77" s="5">
        <v>-0.26948549999999999</v>
      </c>
      <c r="F77" s="2">
        <f t="shared" ref="F77:F87" si="14">B77*D77+C77*E77</f>
        <v>-0.34307905</v>
      </c>
      <c r="G77">
        <f t="shared" ref="G77:G87" si="15">-0.15/F77</f>
        <v>0.43721702039223903</v>
      </c>
      <c r="I77">
        <f t="shared" si="11"/>
        <v>-2.5283297089886581E-2</v>
      </c>
    </row>
    <row r="78" spans="1:9">
      <c r="B78" s="5">
        <f t="shared" si="12"/>
        <v>0.48319400653587524</v>
      </c>
      <c r="C78" s="5">
        <f t="shared" si="13"/>
        <v>0.5168059934641247</v>
      </c>
      <c r="D78" s="5">
        <v>-0.4166726</v>
      </c>
      <c r="E78" s="5">
        <v>-0.26948549999999999</v>
      </c>
      <c r="F78" s="2">
        <f t="shared" si="14"/>
        <v>-0.34060542455939646</v>
      </c>
      <c r="G78">
        <f t="shared" si="15"/>
        <v>0.44039228146186571</v>
      </c>
      <c r="I78">
        <f t="shared" si="11"/>
        <v>-3.1466119184320684E-2</v>
      </c>
    </row>
    <row r="79" spans="1:9">
      <c r="B79" s="5">
        <f t="shared" si="12"/>
        <v>0.46642594388759007</v>
      </c>
      <c r="C79" s="5">
        <f t="shared" si="13"/>
        <v>0.53357405611240993</v>
      </c>
      <c r="D79" s="5">
        <v>-0.4166726</v>
      </c>
      <c r="E79" s="5">
        <v>-0.26948549999999999</v>
      </c>
      <c r="F79" s="2">
        <f t="shared" si="14"/>
        <v>-0.33813738204557708</v>
      </c>
      <c r="G79">
        <f t="shared" si="15"/>
        <v>0.44360667576169288</v>
      </c>
      <c r="I79">
        <f t="shared" si="11"/>
        <v>-3.7589298316103192E-2</v>
      </c>
    </row>
    <row r="80" spans="1:9">
      <c r="B80" s="5">
        <f t="shared" si="12"/>
        <v>0.4497334012055223</v>
      </c>
      <c r="C80" s="5">
        <f t="shared" si="13"/>
        <v>0.5502665987944777</v>
      </c>
      <c r="D80" s="5">
        <v>-0.4166726</v>
      </c>
      <c r="E80" s="5">
        <v>-0.26948549999999999</v>
      </c>
      <c r="F80" s="2">
        <f t="shared" si="14"/>
        <v>-0.33568045509657729</v>
      </c>
      <c r="G80">
        <f t="shared" si="15"/>
        <v>0.44685354098690105</v>
      </c>
      <c r="I80">
        <f t="shared" si="11"/>
        <v>-4.3641819542204974E-2</v>
      </c>
    </row>
    <row r="81" spans="1:9">
      <c r="B81" s="5">
        <f t="shared" si="12"/>
        <v>0.4331532908282692</v>
      </c>
      <c r="C81" s="5">
        <f t="shared" si="13"/>
        <v>0.56684670917173086</v>
      </c>
      <c r="D81" s="5">
        <v>-0.4166726</v>
      </c>
      <c r="E81" s="5">
        <v>-0.26948549999999999</v>
      </c>
      <c r="F81" s="2">
        <f t="shared" si="14"/>
        <v>-0.33324007673246958</v>
      </c>
      <c r="G81">
        <f t="shared" si="15"/>
        <v>0.45012593164303694</v>
      </c>
      <c r="I81">
        <f t="shared" si="11"/>
        <v>-4.9613147822177406E-2</v>
      </c>
    </row>
    <row r="82" spans="1:9">
      <c r="B82" s="5">
        <f t="shared" si="12"/>
        <v>0.41672152596199674</v>
      </c>
      <c r="C82" s="5">
        <f t="shared" si="13"/>
        <v>0.58327847403800326</v>
      </c>
      <c r="D82" s="5">
        <v>-0.4166726</v>
      </c>
      <c r="E82" s="5">
        <v>-0.26948549999999999</v>
      </c>
      <c r="F82" s="2">
        <f t="shared" si="14"/>
        <v>-0.33082153291392102</v>
      </c>
      <c r="G82">
        <f t="shared" si="15"/>
        <v>0.45341667659532198</v>
      </c>
      <c r="I82">
        <f t="shared" si="11"/>
        <v>-5.5493292559703922E-2</v>
      </c>
    </row>
    <row r="83" spans="1:9">
      <c r="B83" s="5">
        <f t="shared" si="12"/>
        <v>0.40047271707730309</v>
      </c>
      <c r="C83" s="5">
        <f t="shared" si="13"/>
        <v>0.59952728292269697</v>
      </c>
      <c r="D83" s="5">
        <v>-0.4166726</v>
      </c>
      <c r="E83" s="5">
        <v>-0.26948549999999999</v>
      </c>
      <c r="F83" s="2">
        <f t="shared" si="14"/>
        <v>-0.32842991785572873</v>
      </c>
      <c r="G83">
        <f t="shared" si="15"/>
        <v>0.45671844081479612</v>
      </c>
      <c r="I83">
        <f t="shared" si="11"/>
        <v>-0.19678689292917068</v>
      </c>
    </row>
    <row r="84" spans="1:9">
      <c r="B84" s="5">
        <f t="shared" si="12"/>
        <v>0.3844398923190297</v>
      </c>
      <c r="C84" s="5">
        <f t="shared" si="13"/>
        <v>0.61556010768097025</v>
      </c>
      <c r="D84" s="5">
        <v>-0.4166726</v>
      </c>
      <c r="E84" s="5">
        <v>-0.26948549999999999</v>
      </c>
      <c r="F84" s="2">
        <f t="shared" si="14"/>
        <v>-0.32607009287475025</v>
      </c>
      <c r="G84">
        <f t="shared" si="15"/>
        <v>0.460023790215001</v>
      </c>
    </row>
    <row r="85" spans="1:9">
      <c r="B85" s="5">
        <f t="shared" si="12"/>
        <v>0.36865424647507272</v>
      </c>
      <c r="C85" s="5">
        <f t="shared" si="13"/>
        <v>0.63134575352492728</v>
      </c>
      <c r="D85" s="5">
        <v>-0.4166726</v>
      </c>
      <c r="E85" s="5">
        <v>-0.26948549999999999</v>
      </c>
      <c r="F85" s="2">
        <f t="shared" si="14"/>
        <v>-0.32374664944135118</v>
      </c>
      <c r="G85">
        <f t="shared" si="15"/>
        <v>0.46332525837359584</v>
      </c>
    </row>
    <row r="86" spans="1:9">
      <c r="B86" s="5">
        <f t="shared" si="12"/>
        <v>0.35314492218309612</v>
      </c>
      <c r="C86" s="5">
        <f t="shared" si="13"/>
        <v>0.64685507781690388</v>
      </c>
      <c r="D86" s="5">
        <v>-0.4166726</v>
      </c>
      <c r="E86" s="5">
        <v>-0.26948549999999999</v>
      </c>
      <c r="F86" s="2">
        <f t="shared" si="14"/>
        <v>-0.32146387697585554</v>
      </c>
      <c r="G86">
        <f t="shared" si="15"/>
        <v>0.46661541387204192</v>
      </c>
    </row>
    <row r="87" spans="1:9">
      <c r="B87" s="5">
        <f t="shared" si="12"/>
        <v>2.4945865146310072E-15</v>
      </c>
      <c r="C87" s="5">
        <f t="shared" si="13"/>
        <v>0.99999999999999756</v>
      </c>
      <c r="D87" s="5">
        <v>-0.4166726</v>
      </c>
      <c r="E87" s="5">
        <v>-0.26948549999999999</v>
      </c>
      <c r="F87" s="2">
        <f t="shared" si="14"/>
        <v>-0.26948550000000038</v>
      </c>
      <c r="G87">
        <f t="shared" si="15"/>
        <v>0.55661621868337918</v>
      </c>
    </row>
    <row r="90" spans="1:9">
      <c r="G90" s="7"/>
    </row>
    <row r="93" spans="1:9">
      <c r="A93" t="s">
        <v>24</v>
      </c>
    </row>
    <row r="94" spans="1:9">
      <c r="A94" s="2" t="s">
        <v>12</v>
      </c>
      <c r="B94" s="2" t="s">
        <v>13</v>
      </c>
      <c r="C94" s="2" t="s">
        <v>14</v>
      </c>
      <c r="D94" s="2" t="s">
        <v>15</v>
      </c>
      <c r="E94" s="2" t="s">
        <v>16</v>
      </c>
      <c r="F94" s="2" t="s">
        <v>17</v>
      </c>
      <c r="G94" s="2" t="s">
        <v>18</v>
      </c>
    </row>
    <row r="95" spans="1:9">
      <c r="A95" s="2">
        <v>0</v>
      </c>
      <c r="B95" s="5">
        <f t="shared" ref="B95:B105" si="16">IF(A$95=1,B46,C46)</f>
        <v>0.5</v>
      </c>
      <c r="C95" s="5">
        <f t="shared" ref="C95:C105" si="17">1-B95</f>
        <v>0.5</v>
      </c>
      <c r="D95" s="5">
        <v>0.2411276</v>
      </c>
      <c r="E95" s="5">
        <v>0.58988229999999997</v>
      </c>
      <c r="F95" s="2">
        <f t="shared" ref="F95:F105" si="18">B95*D95+C95*E95</f>
        <v>0.41550494999999998</v>
      </c>
      <c r="G95">
        <f t="shared" ref="G95:G105" si="19">0.0765/F95</f>
        <v>0.18411333005780076</v>
      </c>
    </row>
    <row r="96" spans="1:9">
      <c r="B96" s="5">
        <f t="shared" si="16"/>
        <v>0.48319400653587524</v>
      </c>
      <c r="C96" s="5">
        <f t="shared" si="17"/>
        <v>0.5168059934641247</v>
      </c>
      <c r="D96" s="5">
        <v>0.2411276</v>
      </c>
      <c r="E96" s="5">
        <v>0.58988229999999997</v>
      </c>
      <c r="F96" s="2">
        <f t="shared" si="18"/>
        <v>0.42136611920878275</v>
      </c>
      <c r="G96">
        <f t="shared" si="19"/>
        <v>0.18155232827842763</v>
      </c>
    </row>
    <row r="97" spans="1:12">
      <c r="B97" s="5">
        <f t="shared" si="16"/>
        <v>0.46642594388759007</v>
      </c>
      <c r="C97" s="5">
        <f t="shared" si="17"/>
        <v>0.53357405611240993</v>
      </c>
      <c r="D97" s="5">
        <v>0.2411276</v>
      </c>
      <c r="E97" s="5">
        <v>0.58988229999999997</v>
      </c>
      <c r="F97" s="2">
        <f t="shared" si="18"/>
        <v>0.42721405986726668</v>
      </c>
      <c r="G97">
        <f t="shared" si="19"/>
        <v>0.1790671403084631</v>
      </c>
    </row>
    <row r="98" spans="1:12">
      <c r="B98" s="5">
        <f t="shared" si="16"/>
        <v>0.4497334012055223</v>
      </c>
      <c r="C98" s="5">
        <f t="shared" si="17"/>
        <v>0.5502665987944777</v>
      </c>
      <c r="D98" s="5">
        <v>0.2411276</v>
      </c>
      <c r="E98" s="5">
        <v>0.58988229999999997</v>
      </c>
      <c r="F98" s="2">
        <f t="shared" si="18"/>
        <v>0.43303566258258841</v>
      </c>
      <c r="G98">
        <f t="shared" si="19"/>
        <v>0.17665981490706886</v>
      </c>
    </row>
    <row r="99" spans="1:12">
      <c r="B99" s="5">
        <f t="shared" si="16"/>
        <v>0.4331532908282692</v>
      </c>
      <c r="C99" s="5">
        <f t="shared" si="17"/>
        <v>0.56684670917173086</v>
      </c>
      <c r="D99" s="5">
        <v>0.2411276</v>
      </c>
      <c r="E99" s="5">
        <v>0.58988229999999997</v>
      </c>
      <c r="F99" s="2">
        <f t="shared" si="18"/>
        <v>0.43881805400317425</v>
      </c>
      <c r="G99">
        <f t="shared" si="19"/>
        <v>0.17433193393507604</v>
      </c>
    </row>
    <row r="100" spans="1:12">
      <c r="B100" s="5">
        <f t="shared" si="16"/>
        <v>0.41672152596199674</v>
      </c>
      <c r="C100" s="5">
        <f t="shared" si="17"/>
        <v>0.58327847403800326</v>
      </c>
      <c r="D100" s="5">
        <v>0.2411276</v>
      </c>
      <c r="E100" s="5">
        <v>0.58988229999999997</v>
      </c>
      <c r="F100" s="2">
        <f t="shared" si="18"/>
        <v>0.44454870922958156</v>
      </c>
      <c r="G100">
        <f t="shared" si="19"/>
        <v>0.17208462967438859</v>
      </c>
    </row>
    <row r="101" spans="1:12">
      <c r="B101" s="5">
        <f t="shared" si="16"/>
        <v>0.40047271707730309</v>
      </c>
      <c r="C101" s="5">
        <f t="shared" si="17"/>
        <v>0.59952728292269697</v>
      </c>
      <c r="D101" s="5">
        <v>0.2411276</v>
      </c>
      <c r="E101" s="5">
        <v>0.58988229999999997</v>
      </c>
      <c r="F101" s="2">
        <f t="shared" si="18"/>
        <v>0.45021555769752031</v>
      </c>
      <c r="G101">
        <f t="shared" si="19"/>
        <v>0.1699186060811273</v>
      </c>
    </row>
    <row r="102" spans="1:12">
      <c r="B102" s="5">
        <f t="shared" si="16"/>
        <v>0.3844398923190297</v>
      </c>
      <c r="C102" s="5">
        <f t="shared" si="17"/>
        <v>0.61556010768097025</v>
      </c>
      <c r="D102" s="5">
        <v>0.2411276</v>
      </c>
      <c r="E102" s="5">
        <v>0.58988229999999997</v>
      </c>
      <c r="F102" s="2">
        <f t="shared" si="18"/>
        <v>0.45580708068624443</v>
      </c>
      <c r="G102">
        <f t="shared" si="19"/>
        <v>0.16783416327105918</v>
      </c>
    </row>
    <row r="103" spans="1:12">
      <c r="B103" s="5">
        <f t="shared" si="16"/>
        <v>0.36865424647507272</v>
      </c>
      <c r="C103" s="5">
        <f t="shared" si="17"/>
        <v>0.63134575352492728</v>
      </c>
      <c r="D103" s="5">
        <v>0.2411276</v>
      </c>
      <c r="E103" s="5">
        <v>0.58988229999999997</v>
      </c>
      <c r="F103" s="2">
        <f t="shared" si="18"/>
        <v>0.46131239886685993</v>
      </c>
      <c r="G103">
        <f t="shared" si="19"/>
        <v>0.16583122454091848</v>
      </c>
    </row>
    <row r="104" spans="1:12">
      <c r="B104" s="5">
        <f t="shared" si="16"/>
        <v>0.35314492218309612</v>
      </c>
      <c r="C104" s="5">
        <f t="shared" si="17"/>
        <v>0.64685507781690388</v>
      </c>
      <c r="D104" s="5">
        <v>0.2411276</v>
      </c>
      <c r="E104" s="5">
        <v>0.58988229999999997</v>
      </c>
      <c r="F104" s="2">
        <f t="shared" si="18"/>
        <v>0.46672134860751097</v>
      </c>
      <c r="G104">
        <f t="shared" si="19"/>
        <v>0.16390936525239738</v>
      </c>
    </row>
    <row r="105" spans="1:12">
      <c r="B105" s="5">
        <f t="shared" si="16"/>
        <v>2.4945865146310072E-15</v>
      </c>
      <c r="C105" s="5">
        <f t="shared" si="17"/>
        <v>0.99999999999999756</v>
      </c>
      <c r="D105" s="5">
        <v>0.2411276</v>
      </c>
      <c r="E105" s="5">
        <v>0.58988229999999997</v>
      </c>
      <c r="F105" s="2">
        <f t="shared" si="18"/>
        <v>0.58988229999999908</v>
      </c>
      <c r="G105">
        <f t="shared" si="19"/>
        <v>0.129686888384344</v>
      </c>
    </row>
    <row r="106" spans="1:12">
      <c r="B106" s="5"/>
      <c r="I106" t="s">
        <v>19</v>
      </c>
      <c r="J106" t="s">
        <v>21</v>
      </c>
      <c r="K106" t="s">
        <v>22</v>
      </c>
      <c r="L106" t="s">
        <v>23</v>
      </c>
    </row>
    <row r="107" spans="1:12">
      <c r="B107" s="5"/>
      <c r="I107" s="5">
        <f t="shared" ref="I107:I117" si="20">G95-G110</f>
        <v>-4.6345338838566508E-3</v>
      </c>
      <c r="J107" s="8">
        <f t="shared" ref="J107:J117" si="21">I107-I$107</f>
        <v>0</v>
      </c>
      <c r="K107">
        <f t="shared" ref="K107:K117" si="22">J107/0.4</f>
        <v>0</v>
      </c>
      <c r="L107">
        <f t="shared" ref="L107:L117" si="23">K107/0.192/2</f>
        <v>0</v>
      </c>
    </row>
    <row r="108" spans="1:12">
      <c r="A108" t="s">
        <v>25</v>
      </c>
      <c r="I108" s="5">
        <f t="shared" si="20"/>
        <v>-4.6843951695748065E-3</v>
      </c>
      <c r="J108" s="8">
        <f t="shared" si="21"/>
        <v>-4.9861285718155735E-5</v>
      </c>
      <c r="K108">
        <f t="shared" si="22"/>
        <v>-1.2465321429538934E-4</v>
      </c>
      <c r="L108">
        <f t="shared" si="23"/>
        <v>-3.2461774556090975E-4</v>
      </c>
    </row>
    <row r="109" spans="1:12">
      <c r="A109" s="2" t="s">
        <v>12</v>
      </c>
      <c r="B109" s="2" t="s">
        <v>13</v>
      </c>
      <c r="C109" s="2" t="s">
        <v>14</v>
      </c>
      <c r="D109" s="2" t="s">
        <v>15</v>
      </c>
      <c r="E109" s="2" t="s">
        <v>16</v>
      </c>
      <c r="F109" s="2" t="s">
        <v>17</v>
      </c>
      <c r="G109" s="2" t="s">
        <v>18</v>
      </c>
      <c r="I109" s="5">
        <f t="shared" si="20"/>
        <v>-4.729829300098215E-3</v>
      </c>
      <c r="J109" s="8">
        <f t="shared" si="21"/>
        <v>-9.5295416241564235E-5</v>
      </c>
      <c r="K109">
        <f t="shared" si="22"/>
        <v>-2.3823854060391059E-4</v>
      </c>
      <c r="L109">
        <f t="shared" si="23"/>
        <v>-6.2041286615601712E-4</v>
      </c>
    </row>
    <row r="110" spans="1:12">
      <c r="A110" s="2">
        <v>0</v>
      </c>
      <c r="B110" s="5">
        <f t="shared" ref="B110:B120" si="24">IF(A$110=1,B46,C46)</f>
        <v>0.5</v>
      </c>
      <c r="C110" s="5">
        <f t="shared" ref="C110:C120" si="25">1-B110</f>
        <v>0.5</v>
      </c>
      <c r="D110" s="5">
        <v>-0.2427137</v>
      </c>
      <c r="E110" s="5">
        <v>-0.56789149999999999</v>
      </c>
      <c r="F110" s="2">
        <f t="shared" ref="F110:F120" si="26">B110*D110+C110*E110</f>
        <v>-0.40530260000000001</v>
      </c>
      <c r="G110">
        <f t="shared" ref="G110:G120" si="27">-0.0765/F110</f>
        <v>0.18874786394165741</v>
      </c>
      <c r="I110" s="5">
        <f t="shared" si="20"/>
        <v>-4.7710634034219546E-3</v>
      </c>
      <c r="J110" s="8">
        <f t="shared" si="21"/>
        <v>-1.3652951956530379E-4</v>
      </c>
      <c r="K110">
        <f t="shared" si="22"/>
        <v>-3.4132379891325948E-4</v>
      </c>
      <c r="L110">
        <f t="shared" si="23"/>
        <v>-8.8886405966994656E-4</v>
      </c>
    </row>
    <row r="111" spans="1:12">
      <c r="B111" s="5">
        <f t="shared" si="24"/>
        <v>0.48319400653587524</v>
      </c>
      <c r="C111" s="5">
        <f t="shared" si="25"/>
        <v>0.5168059934641247</v>
      </c>
      <c r="D111" s="5">
        <v>-0.2427137</v>
      </c>
      <c r="E111" s="5">
        <v>-0.56789149999999999</v>
      </c>
      <c r="F111" s="2">
        <f t="shared" si="26"/>
        <v>-0.41076753598147847</v>
      </c>
      <c r="G111">
        <f t="shared" si="27"/>
        <v>0.18623672344800243</v>
      </c>
      <c r="I111" s="5">
        <f t="shared" si="20"/>
        <v>-4.8083336372191365E-3</v>
      </c>
      <c r="J111" s="8">
        <f t="shared" si="21"/>
        <v>-1.7379975336248576E-4</v>
      </c>
      <c r="K111">
        <f t="shared" si="22"/>
        <v>-4.3449938340621441E-4</v>
      </c>
      <c r="L111">
        <f t="shared" si="23"/>
        <v>-1.1315088109536834E-3</v>
      </c>
    </row>
    <row r="112" spans="1:12">
      <c r="B112" s="5">
        <f t="shared" si="24"/>
        <v>0.46642594388759007</v>
      </c>
      <c r="C112" s="5">
        <f t="shared" si="25"/>
        <v>0.53357405611240993</v>
      </c>
      <c r="D112" s="5">
        <v>-0.2427137</v>
      </c>
      <c r="E112" s="5">
        <v>-0.56789149999999999</v>
      </c>
      <c r="F112" s="2">
        <f t="shared" si="26"/>
        <v>-0.41622013770371002</v>
      </c>
      <c r="G112">
        <f t="shared" si="27"/>
        <v>0.18379696960856132</v>
      </c>
      <c r="I112" s="5">
        <f t="shared" si="20"/>
        <v>-4.8418816613403359E-3</v>
      </c>
      <c r="J112" s="8">
        <f t="shared" si="21"/>
        <v>-2.0734777748368516E-4</v>
      </c>
      <c r="K112">
        <f t="shared" si="22"/>
        <v>-5.183694437092129E-4</v>
      </c>
      <c r="L112">
        <f t="shared" si="23"/>
        <v>-1.3499204263260752E-3</v>
      </c>
    </row>
    <row r="113" spans="2:12">
      <c r="B113" s="5">
        <f t="shared" si="24"/>
        <v>0.4497334012055223</v>
      </c>
      <c r="C113" s="5">
        <f t="shared" si="25"/>
        <v>0.5502665987944777</v>
      </c>
      <c r="D113" s="5">
        <v>-0.2427137</v>
      </c>
      <c r="E113" s="5">
        <v>-0.56789149999999999</v>
      </c>
      <c r="F113" s="2">
        <f t="shared" si="26"/>
        <v>-0.42164818200947091</v>
      </c>
      <c r="G113">
        <f t="shared" si="27"/>
        <v>0.18143087831049082</v>
      </c>
      <c r="I113" s="5">
        <f t="shared" si="20"/>
        <v>-4.8719514015262977E-3</v>
      </c>
      <c r="J113" s="8">
        <f t="shared" si="21"/>
        <v>-2.3741751766964692E-4</v>
      </c>
      <c r="K113">
        <f t="shared" si="22"/>
        <v>-5.9354379417411729E-4</v>
      </c>
      <c r="L113">
        <f t="shared" si="23"/>
        <v>-1.5456869639950972E-3</v>
      </c>
    </row>
    <row r="114" spans="2:12">
      <c r="B114" s="5">
        <f t="shared" si="24"/>
        <v>0.4331532908282692</v>
      </c>
      <c r="C114" s="5">
        <f t="shared" si="25"/>
        <v>0.56684670917173086</v>
      </c>
      <c r="D114" s="5">
        <v>-0.2427137</v>
      </c>
      <c r="E114" s="5">
        <v>-0.56789149999999999</v>
      </c>
      <c r="F114" s="2">
        <f t="shared" si="26"/>
        <v>-0.4270396658257033</v>
      </c>
      <c r="G114">
        <f t="shared" si="27"/>
        <v>0.17914026757229518</v>
      </c>
      <c r="I114" s="5">
        <f t="shared" si="20"/>
        <v>-4.8987861386075859E-3</v>
      </c>
      <c r="J114" s="8">
        <f t="shared" si="21"/>
        <v>-2.6425225475093517E-4</v>
      </c>
      <c r="K114">
        <f t="shared" si="22"/>
        <v>-6.6063063687733792E-4</v>
      </c>
      <c r="L114">
        <f t="shared" si="23"/>
        <v>-1.7203922835347342E-3</v>
      </c>
    </row>
    <row r="115" spans="2:12">
      <c r="B115" s="5">
        <f t="shared" si="24"/>
        <v>0.41672152596199674</v>
      </c>
      <c r="C115" s="5">
        <f t="shared" si="25"/>
        <v>0.58327847403800326</v>
      </c>
      <c r="D115" s="5">
        <v>-0.2427137</v>
      </c>
      <c r="E115" s="5">
        <v>-0.56789149999999999</v>
      </c>
      <c r="F115" s="2">
        <f t="shared" si="26"/>
        <v>-0.43238291097503501</v>
      </c>
      <c r="G115">
        <f t="shared" si="27"/>
        <v>0.17692651133572893</v>
      </c>
      <c r="I115" s="5">
        <f t="shared" si="20"/>
        <v>-4.9226259441777775E-3</v>
      </c>
      <c r="J115" s="8">
        <f t="shared" si="21"/>
        <v>-2.8809206032112677E-4</v>
      </c>
      <c r="K115">
        <f t="shared" si="22"/>
        <v>-7.2023015080281694E-4</v>
      </c>
      <c r="L115">
        <f t="shared" si="23"/>
        <v>-1.8755993510490023E-3</v>
      </c>
    </row>
    <row r="116" spans="2:12">
      <c r="B116" s="5">
        <f t="shared" si="24"/>
        <v>0.40047271707730309</v>
      </c>
      <c r="C116" s="5">
        <f t="shared" si="25"/>
        <v>0.59952728292269697</v>
      </c>
      <c r="D116" s="5">
        <v>-0.2427137</v>
      </c>
      <c r="E116" s="5">
        <v>-0.56789149999999999</v>
      </c>
      <c r="F116" s="2">
        <f t="shared" si="26"/>
        <v>-0.43766666290078021</v>
      </c>
      <c r="G116">
        <f t="shared" si="27"/>
        <v>0.1747905574826536</v>
      </c>
      <c r="I116" s="5">
        <f t="shared" si="20"/>
        <v>-4.9437054716393869E-3</v>
      </c>
      <c r="J116" s="8">
        <f t="shared" si="21"/>
        <v>-3.0917158778273612E-4</v>
      </c>
      <c r="K116">
        <f t="shared" si="22"/>
        <v>-7.7292896945684031E-4</v>
      </c>
      <c r="L116">
        <f t="shared" si="23"/>
        <v>-2.0128358579605218E-3</v>
      </c>
    </row>
    <row r="117" spans="2:12">
      <c r="B117" s="5">
        <f t="shared" si="24"/>
        <v>0.3844398923190297</v>
      </c>
      <c r="C117" s="5">
        <f t="shared" si="25"/>
        <v>0.61556010768097025</v>
      </c>
      <c r="D117" s="5">
        <v>-0.2427137</v>
      </c>
      <c r="E117" s="5">
        <v>-0.56789149999999999</v>
      </c>
      <c r="F117" s="2">
        <f t="shared" si="26"/>
        <v>-0.44288018158346099</v>
      </c>
      <c r="G117">
        <f t="shared" si="27"/>
        <v>0.17273294940966677</v>
      </c>
      <c r="I117" s="5">
        <f t="shared" si="20"/>
        <v>-5.0219424398541268E-3</v>
      </c>
      <c r="J117" s="8">
        <f t="shared" si="21"/>
        <v>-3.8740855599747603E-4</v>
      </c>
      <c r="K117">
        <f t="shared" si="22"/>
        <v>-9.6852138999369008E-4</v>
      </c>
      <c r="L117">
        <f>K117/0.192/2</f>
        <v>-2.5221911197752345E-3</v>
      </c>
    </row>
    <row r="118" spans="2:12">
      <c r="B118" s="5">
        <f t="shared" si="24"/>
        <v>0.36865424647507272</v>
      </c>
      <c r="C118" s="5">
        <f t="shared" si="25"/>
        <v>0.63134575352492728</v>
      </c>
      <c r="D118" s="5">
        <v>-0.2427137</v>
      </c>
      <c r="E118" s="5">
        <v>-0.56789149999999999</v>
      </c>
      <c r="F118" s="2">
        <f t="shared" si="26"/>
        <v>-0.44801332317057807</v>
      </c>
      <c r="G118">
        <f t="shared" si="27"/>
        <v>0.17075385048509625</v>
      </c>
      <c r="I118" s="5"/>
    </row>
    <row r="119" spans="2:12">
      <c r="B119" s="5">
        <f t="shared" si="24"/>
        <v>0.35314492218309612</v>
      </c>
      <c r="C119" s="5">
        <f t="shared" si="25"/>
        <v>0.64685507781690388</v>
      </c>
      <c r="D119" s="5">
        <v>-0.2427137</v>
      </c>
      <c r="E119" s="5">
        <v>-0.56789149999999999</v>
      </c>
      <c r="F119" s="2">
        <f t="shared" si="26"/>
        <v>-0.45305661112332962</v>
      </c>
      <c r="G119">
        <f t="shared" si="27"/>
        <v>0.16885307072403677</v>
      </c>
    </row>
    <row r="120" spans="2:12">
      <c r="B120" s="5">
        <f t="shared" si="24"/>
        <v>2.4945865146310072E-15</v>
      </c>
      <c r="C120" s="5">
        <f t="shared" si="25"/>
        <v>0.99999999999999756</v>
      </c>
      <c r="D120" s="5">
        <v>-0.2427137</v>
      </c>
      <c r="E120" s="5">
        <v>-0.56789149999999999</v>
      </c>
      <c r="F120" s="2">
        <f t="shared" si="26"/>
        <v>-0.56789149999999922</v>
      </c>
      <c r="G120">
        <f t="shared" si="27"/>
        <v>0.13470883082419813</v>
      </c>
    </row>
    <row r="121" spans="2:12">
      <c r="B121" s="5"/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962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 Gimenez Santamarina</cp:lastModifiedBy>
  <cp:revision>7</cp:revision>
  <dcterms:created xsi:type="dcterms:W3CDTF">2026-06-02T16:58:25Z</dcterms:created>
  <dcterms:modified xsi:type="dcterms:W3CDTF">2026-07-20T10:33:08Z</dcterms:modified>
</cp:coreProperties>
</file>